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<sst xmlns="http://schemas.openxmlformats.org/spreadsheetml/2006/main" count="1" uniqueCount="1">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</sst>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C1" s="0" t="n">
        <f aca="false">SUM(A2:A6)</f>
        <v>4</v>
      </c>
    </row>
    <row r="2" customFormat="false" ht="15" hidden="false" customHeight="false" outlineLevel="0" collapsed="false">
      <c r="A2" s="0" t="n">
        <v>1</v>
      </c>
      <c r="B2" s="0" t="n">
        <v>20</v>
      </c>
      <c r="C2" s="0" t="n">
        <f aca="false">SUM(A4)</f>
        <v>0</v>
      </c>
    </row>
    <row r="3" customFormat="false" ht="15" hidden="false" customHeight="false" outlineLevel="0" collapsed="false">
      <c r="A3" s="0" t="n">
        <v>2</v>
      </c>
      <c r="B3" s="0" t="n">
        <v>30</v>
      </c>
      <c r="C3" s="0" t="n">
        <f aca="false">SUM(A5)</f>
        <v>1</v>
      </c>
    </row>
    <row r="4" customFormat="false" ht="15" hidden="false" customHeight="false" outlineLevel="0" collapsed="false">
      <c r="A4" s="1" t="s">
        <v>0</v>
      </c>
      <c r="B4" s="0" t="n">
        <v>40</v>
      </c>
      <c r="C4" s="0" t="e">
        <f aca="false">SUM("3",TRUE())</f>
        <v>#VALUE!</v>
      </c>
    </row>
    <row r="5" customFormat="false" ht="15" hidden="false" customHeight="false" outlineLevel="0" collapsed="false">
      <c r="A5" s="2" t="b">
        <f aca="false">TRUE()</f>
        <v>1</v>
      </c>
      <c r="B5" s="0" t="n">
        <v>50</v>
      </c>
      <c r="C5" s="0" t="n">
        <f aca="false">COUNT(A4)</f>
        <v>0</v>
      </c>
    </row>
    <row r="6" customFormat="false" ht="15" hidden="false" customHeight="false" outlineLevel="0" collapsed="false">
      <c r="B6" s="0" t="n">
        <v>60</v>
      </c>
      <c r="C6" s="0" t="n">
        <f aca="false">COUNT(A5)</f>
        <v>1</v>
      </c>
    </row>
    <row r="7" customFormat="false" ht="15" hidden="false" customHeight="false" outlineLevel="0" collapsed="false">
      <c r="C7" s="0" t="n">
        <f aca="false">COUNT("3",TRUE(),"bad")</f>
        <v>2</v>
      </c>
    </row>
    <row r="8" customFormat="false" ht="15" hidden="false" customHeight="false" outlineLevel="0" collapsed="false">
      <c r="C8" s="0" t="n">
        <f aca="false">COUNTA(A2:A6)</f>
        <v>4</v>
      </c>
    </row>
    <row r="9" customFormat="false" ht="15" hidden="false" customHeight="false" outlineLevel="0" collapsed="false">
      <c r="C9" s="0" t="n">
        <f aca="false">AVERAGE(A2:A6)</f>
        <v>1.33333333333333</v>
      </c>
    </row>
    <row r="10" customFormat="false" ht="15" hidden="false" customHeight="false" outlineLevel="0" collapsed="false">
      <c r="C10" s="0" t="n">
        <f aca="false">MIN(A9:A10)</f>
        <v>0</v>
      </c>
    </row>
    <row r="11" customFormat="false" ht="15" hidden="false" customHeight="false" outlineLevel="0" collapsed="false">
      <c r="C11" s="0" t="n">
        <f aca="false">MAX(A9:A10)</f>
        <v>0</v>
      </c>
    </row>
    <row r="12" customFormat="false" ht="15" hidden="false" customHeight="false" outlineLevel="0" collapsed="false">
      <c r="C12" s="0" t="n">
        <f aca="false">MIN(A2:A6)</f>
        <v>1</v>
      </c>
    </row>
    <row r="13" customFormat="false" ht="15" hidden="false" customHeight="false" outlineLevel="0" collapsed="false">
      <c r="C13" s="0" t="n">
        <f aca="false">MAX(A2:A6)</f>
        <v>2</v>
      </c>
    </row>
    <row r="14" customFormat="false" ht="15" hidden="false" customHeight="false" outlineLevel="0" collapsed="false">
      <c r="C14" s="0" t="n">
        <f aca="false">IF(TRUE(),10,1/0)</f>
        <v>10</v>
      </c>
    </row>
    <row r="15" customFormat="false" ht="15" hidden="false" customHeight="false" outlineLevel="0" collapsed="false">
      <c r="C15" s="0" t="n">
        <f aca="false">IF(FALSE(),1/0,20)</f>
        <v>20</v>
      </c>
    </row>
    <row r="16" customFormat="false" ht="15" hidden="false" customHeight="false" outlineLevel="0" collapsed="false">
      <c r="C16" s="0" t="n">
        <f aca="false">IFERROR(1/0,99)</f>
        <v>99</v>
      </c>
    </row>
    <row r="17" customFormat="false" ht="15" hidden="false" customHeight="false" outlineLevel="0" collapsed="false">
      <c r="C17" s="0" t="n">
        <f aca="false">_xlfn.IFNA(VLOOKUP("missing",A2:B6,2,FALSE()),0)</f>
        <v>0</v>
      </c>
    </row>
    <row r="18" customFormat="false" ht="15" hidden="false" customHeight="false" outlineLevel="0" collapsed="false">
      <c r="C18" s="2" t="b">
        <f aca="false">AND(A2:A6)</f>
        <v>1</v>
      </c>
    </row>
    <row r="19" customFormat="false" ht="15" hidden="false" customHeight="false" outlineLevel="0" collapsed="false">
      <c r="C19" s="2" t="b">
        <f aca="false">OR(A2:A6)</f>
        <v>1</v>
      </c>
    </row>
    <row r="20" customFormat="false" ht="15" hidden="false" customHeight="false" outlineLevel="0" collapsed="false">
      <c r="C20" s="2" t="b">
        <f aca="false">NOT(FALSE())</f>
        <v>1</v>
      </c>
    </row>
    <row r="21" customFormat="false" ht="15" hidden="false" customHeight="false" outlineLevel="0" collapsed="false">
      <c r="C21" s="0" t="n">
        <f aca="false">ABS(-3)</f>
        <v>3</v>
      </c>
    </row>
    <row r="22" customFormat="false" ht="15" hidden="false" customHeight="false" outlineLevel="0" collapsed="false">
      <c r="C22" s="0" t="n">
        <f aca="false">ROUND(1.005,2)</f>
        <v>1.01</v>
      </c>
    </row>
    <row r="23" customFormat="false" ht="15" hidden="false" customHeight="false" outlineLevel="0" collapsed="false">
      <c r="C23" s="0" t="n">
        <f aca="false">ROUND(-1.5,0)</f>
        <v>-2</v>
      </c>
    </row>
    <row r="24" customFormat="false" ht="15" hidden="false" customHeight="false" outlineLevel="0" collapsed="false">
      <c r="C24" s="0" t="n">
        <f aca="false">ROUND(1234,-2)</f>
        <v>1200</v>
      </c>
    </row>
    <row r="25" customFormat="false" ht="15" hidden="false" customHeight="false" outlineLevel="0" collapsed="false">
      <c r="C25" s="0" t="n">
        <f aca="false">LEN("abc")</f>
        <v>3</v>
      </c>
    </row>
    <row r="26" customFormat="false" ht="15" hidden="false" customHeight="false" outlineLevel="0" collapsed="false">
      <c r="C26" s="0" t="str">
        <f aca="false">LOWER("ABC")</f>
        <v>abc</v>
      </c>
    </row>
    <row r="27" customFormat="false" ht="15" hidden="false" customHeight="false" outlineLevel="0" collapsed="false">
      <c r="C27" s="0" t="str">
        <f aca="false">UPPER("abc")</f>
        <v>ABC</v>
      </c>
    </row>
    <row r="28" customFormat="false" ht="15" hidden="false" customHeight="false" outlineLevel="0" collapsed="false">
      <c r="C28" s="0" t="str">
        <f aca="false">TRIM("  a   b  ")</f>
        <v>a b</v>
      </c>
    </row>
    <row r="29" customFormat="false" ht="15" hidden="false" customHeight="false" outlineLevel="0" collapsed="false">
      <c r="C29" s="0" t="str">
        <f aca="false">_xlfn.CONCAT("a","b")</f>
        <v>ab</v>
      </c>
    </row>
    <row r="30" customFormat="false" ht="15" hidden="false" customHeight="false" outlineLevel="0" collapsed="false">
      <c r="C30" s="0" t="str">
        <f aca="false">CONCATENATE("a","b")</f>
        <v>ab</v>
      </c>
    </row>
    <row r="31" customFormat="false" ht="15" hidden="false" customHeight="false" outlineLevel="0" collapsed="false">
      <c r="C31" s="0" t="n">
        <f aca="false">COUNTIF(A2:A6,"&gt;0")</f>
        <v>3</v>
      </c>
    </row>
    <row r="32" customFormat="false" ht="15" hidden="false" customHeight="false" outlineLevel="0" collapsed="false">
      <c r="C32" s="0" t="n">
        <f aca="false">COUNTIF(A2:A6,3)</f>
        <v>0</v>
      </c>
    </row>
    <row r="33" customFormat="false" ht="15" hidden="false" customHeight="false" outlineLevel="0" collapsed="false">
      <c r="C33" s="0" t="n">
        <f aca="false">SUMIF(A2:A6,"&gt;0",B2:B6)</f>
        <v>100</v>
      </c>
    </row>
    <row r="34" customFormat="false" ht="15" hidden="false" customHeight="false" outlineLevel="0" collapsed="false">
      <c r="C34" s="0" t="n">
        <f aca="false">INDEX(A2:B6,2,2)</f>
        <v>30</v>
      </c>
    </row>
    <row r="35" customFormat="false" ht="15" hidden="false" customHeight="false" outlineLevel="0" collapsed="false">
      <c r="C35" s="0" t="n">
        <f aca="false">MATCH(2,A2:A6,0)</f>
        <v>2</v>
      </c>
    </row>
    <row r="36" customFormat="false" ht="15" hidden="false" customHeight="false" outlineLevel="0" collapsed="false">
      <c r="C36" s="0" t="n">
        <f aca="false">VLOOKUP(2,A2:B6,2,FALSE())</f>
        <v>30</v>
      </c>
    </row>
    <row r="37" customFormat="false" ht="15" hidden="false" customHeight="false" outlineLevel="0" collapsed="false">
      <c r="C37" s="0" t="n">
        <f aca="false">HLOOKUP(1,A2:B6,2,FALSE())</f>
        <v>2</v>
      </c>
    </row>
    <row r="38" customFormat="false" ht="15" hidden="false" customHeight="false" outlineLevel="0" collapsed="false">
      <c r="C38" s="0" t="n">
        <f aca="false">_xlfn.XLOOKUP(2,A2:A6,B2:B6)</f>
        <v>30</v>
      </c>
    </row>
    <row r="39" customFormat="false" ht="15" hidden="false" customHeight="false" outlineLevel="0" collapsed="false">
      <c r="C39" s="0" t="str">
        <f aca="false">_xlfn.XLOOKUP(99,A2:A6,B2:B6,"missing")</f>
        <v>missing</v>
      </c>
    </row>
    <row r="40" customFormat="false" ht="15" hidden="false" customHeight="false" outlineLevel="0" collapsed="false">
      <c r="C40" s="2" t="b">
        <f aca="false">A9=0</f>
        <v>1</v>
      </c>
    </row>
    <row r="41" customFormat="false" ht="15" hidden="false" customHeight="false" outlineLevel="0" collapsed="false">
      <c r="C41" s="2" t="b">
        <f aca="false">A9=""</f>
        <v>1</v>
      </c>
    </row>
    <row r="42" customFormat="false" ht="15" hidden="false" customHeight="false" outlineLevel="0" collapsed="false">
      <c r="C42" s="0" t="n">
        <f aca="false">2^3^2</f>
        <v>64</v>
      </c>
    </row>
    <row r="43" customFormat="false" ht="15" hidden="false" customHeight="false" outlineLevel="0" collapsed="false">
      <c r="C43" s="0" t="n">
        <f aca="false">20%*50</f>
        <v>10</v>
      </c>
    </row>
    <row r="44" customFormat="false" ht="15" hidden="false" customHeight="false" outlineLevel="0" collapsed="false">
      <c r="C44" s="0" t="str">
        <f aca="false">"a"&amp;"b"</f>
        <v>ab</v>
      </c>
    </row>
    <row r="45" customFormat="false" ht="15" hidden="false" customHeight="false" outlineLevel="0" collapsed="false">
      <c r="C45" s="2" t="b">
        <f aca="false">"abc"="ABC"</f>
        <v>1</v>
      </c>
    </row>
    <row r="46" customFormat="false" ht="15" hidden="false" customHeight="false" outlineLevel="0" collapsed="false">
      <c r="C46" s="0" t="n">
        <f aca="false">A9</f>
        <v>0</v>
      </c>
    </row>
    <row r="47" customFormat="false" ht="15" hidden="false" customHeight="false" outlineLevel="0" collapsed="false">
      <c r="C47" s="0" t="n">
        <f aca="false">A2+A3*2</f>
        <v>5</v>
      </c>
    </row>
    <row r="48" customFormat="false" ht="15" hidden="false" customHeight="false" outlineLevel="0" collapsed="false">
      <c r="C48" s="0" t="n">
        <f aca="false">(A2+A3)*2</f>
        <v>6</v>
      </c>
    </row>
    <row r="49" customFormat="false" ht="15" hidden="false" customHeight="false" outlineLevel="0" collapsed="false">
      <c r="C49" s="0" t="n">
        <f aca="false">SUM(A2:A6,4)</f>
        <v>8</v>
      </c>
    </row>
    <row r="50" customFormat="false" ht="15" hidden="false" customHeight="false" outlineLevel="0" collapsed="false">
      <c r="C50" s="0" t="n">
        <f aca="false">AVERAGE(A4,4)</f>
        <v>4</v>
      </c>
    </row>
    <row r="51" customFormat="false" ht="15" hidden="false" customHeight="false" outlineLevel="0" collapsed="false">
      <c r="C51" s="0" t="n">
        <f aca="false">COUNT(A2:A6)</f>
        <v>3</v>
      </c>
    </row>
    <row r="52" customFormat="false" ht="15" hidden="false" customHeight="false" outlineLevel="0" collapsed="false">
      <c r="C52" s="0" t="n">
        <f aca="false">IFERROR(MATCH(99,A2:A6,0),0)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2026-09-09T02:45:16Z</dcterms:created>
  <dc:creator>openpyxl</dc:creator>
  <dc:description/>
  <dc:language>zh-CN</dc:language>
  <cp:lastModifiedBy/>
  <dcterms:modified xsi:type="dcterms:W3CDTF">2026-09-09T02:45:16Z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